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etPH16\OneDrive - FPT Corporation\Documents\YokogawaE_RepPortal Project\01. Rep-Portal Project　Timesheet\"/>
    </mc:Choice>
  </mc:AlternateContent>
  <xr:revisionPtr revIDLastSave="0" documentId="13_ncr:1_{74A62FF4-1FCC-49AD-AE5C-36B3875A3BCC}" xr6:coauthVersionLast="47" xr6:coauthVersionMax="47" xr10:uidLastSave="{00000000-0000-0000-0000-000000000000}"/>
  <bookViews>
    <workbookView xWindow="28680" yWindow="-60" windowWidth="29040" windowHeight="15720" tabRatio="500" xr2:uid="{00000000-000D-0000-FFFF-FFFF00000000}"/>
  </bookViews>
  <sheets>
    <sheet name="稼働情報" sheetId="1" r:id="rId1"/>
    <sheet name="契約工数" sheetId="2" r:id="rId2"/>
  </sheets>
  <definedNames>
    <definedName name="_xlnm.Print_Area" localSheetId="0">稼働情報!$A$1:$I$15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0" i="1"/>
  <c r="D13" i="1"/>
  <c r="E14" i="1" l="1"/>
  <c r="I10" i="1" l="1"/>
  <c r="D10" i="1"/>
  <c r="C15" i="1"/>
  <c r="B15" i="1"/>
  <c r="D14" i="1"/>
  <c r="I13" i="1"/>
  <c r="E12" i="1"/>
  <c r="I12" i="1" s="1"/>
  <c r="D12" i="1"/>
  <c r="E11" i="1"/>
  <c r="D11" i="1"/>
  <c r="K10" i="1" l="1"/>
  <c r="K13" i="1"/>
  <c r="K12" i="1"/>
  <c r="K14" i="1"/>
  <c r="K11" i="1"/>
  <c r="D15" i="1"/>
  <c r="E15" i="1"/>
  <c r="K15" i="1" l="1"/>
</calcChain>
</file>

<file path=xl/sharedStrings.xml><?xml version="1.0" encoding="utf-8"?>
<sst xmlns="http://schemas.openxmlformats.org/spreadsheetml/2006/main" count="32" uniqueCount="26">
  <si>
    <t>名前</t>
  </si>
  <si>
    <t>働く時間 (h)</t>
  </si>
  <si>
    <t>Tung</t>
  </si>
  <si>
    <t>Thien</t>
  </si>
  <si>
    <t>Toan</t>
  </si>
  <si>
    <t>Hirata</t>
  </si>
  <si>
    <t>Asai</t>
  </si>
  <si>
    <t>合計 / 平均</t>
  </si>
  <si>
    <t>単価</t>
    <rPh sb="0" eb="2">
      <t>タンカ</t>
    </rPh>
    <phoneticPr fontId="8"/>
  </si>
  <si>
    <r>
      <t xml:space="preserve">Sub </t>
    </r>
    <r>
      <rPr>
        <b/>
        <sz val="9"/>
        <color rgb="FFFFFFFF"/>
        <rFont val="ＭＳ Ｐゴシック"/>
        <family val="2"/>
        <charset val="128"/>
      </rPr>
      <t>合計</t>
    </r>
    <rPh sb="4" eb="6">
      <t>ゴウケイ</t>
    </rPh>
    <phoneticPr fontId="8"/>
  </si>
  <si>
    <t>合計</t>
    <rPh sb="0" eb="2">
      <t>ゴウケイ</t>
    </rPh>
    <phoneticPr fontId="8"/>
  </si>
  <si>
    <r>
      <rPr>
        <sz val="11"/>
        <color rgb="FFFF0000"/>
        <rFont val="Segoe UI Symbol"/>
        <family val="2"/>
      </rPr>
      <t xml:space="preserve">👉 </t>
    </r>
    <r>
      <rPr>
        <sz val="11"/>
        <color rgb="FFFF0000"/>
        <rFont val="ＭＳ Ｐゴシック"/>
        <family val="2"/>
        <charset val="128"/>
      </rPr>
      <t>追加請求</t>
    </r>
    <rPh sb="3" eb="5">
      <t>ツイカ</t>
    </rPh>
    <rPh sb="5" eb="7">
      <t>セイキュウ</t>
    </rPh>
    <phoneticPr fontId="8"/>
  </si>
  <si>
    <r>
      <rPr>
        <b/>
        <sz val="14"/>
        <color rgb="FFFFFFFF"/>
        <rFont val="ＭＳ ゴシック"/>
        <family val="3"/>
        <charset val="128"/>
      </rPr>
      <t>稼働情報</t>
    </r>
    <r>
      <rPr>
        <b/>
        <sz val="14"/>
        <color rgb="FFFFFFFF"/>
        <rFont val="Arial"/>
        <family val="2"/>
      </rPr>
      <t xml:space="preserve"> (Deploy Information)</t>
    </r>
    <r>
      <rPr>
        <b/>
        <sz val="14"/>
        <color rgb="FFFFFFFF"/>
        <rFont val="ＭＳ ゴシック"/>
        <family val="3"/>
        <charset val="128"/>
      </rPr>
      <t>　</t>
    </r>
    <r>
      <rPr>
        <b/>
        <sz val="14"/>
        <color rgb="FFFFFFFF"/>
        <rFont val="Arial"/>
        <family val="2"/>
      </rPr>
      <t>2026</t>
    </r>
    <r>
      <rPr>
        <b/>
        <sz val="14"/>
        <color rgb="FFFFFFFF"/>
        <rFont val="ＭＳ ゴシック"/>
        <family val="3"/>
        <charset val="128"/>
      </rPr>
      <t>年</t>
    </r>
    <r>
      <rPr>
        <b/>
        <sz val="14"/>
        <color rgb="FFFFFFFF"/>
        <rFont val="Arial"/>
        <family val="2"/>
      </rPr>
      <t xml:space="preserve"> 7</t>
    </r>
    <r>
      <rPr>
        <b/>
        <sz val="14"/>
        <color rgb="FFFFFFFF"/>
        <rFont val="ＭＳ ゴシック"/>
        <family val="3"/>
        <charset val="128"/>
      </rPr>
      <t>月〜8月</t>
    </r>
    <phoneticPr fontId="8"/>
  </si>
  <si>
    <t>７月</t>
    <rPh sb="1" eb="2">
      <t>ガツ</t>
    </rPh>
    <phoneticPr fontId="8"/>
  </si>
  <si>
    <t>8月</t>
    <rPh sb="1" eb="2">
      <t>ガツ</t>
    </rPh>
    <phoneticPr fontId="8"/>
  </si>
  <si>
    <t>7月</t>
    <rPh sb="1" eb="2">
      <t>ガツ</t>
    </rPh>
    <phoneticPr fontId="8"/>
  </si>
  <si>
    <t>８月</t>
    <rPh sb="1" eb="2">
      <t>ガツ</t>
    </rPh>
    <phoneticPr fontId="8"/>
  </si>
  <si>
    <t>標準時間</t>
    <phoneticPr fontId="8"/>
  </si>
  <si>
    <r>
      <rPr>
        <sz val="10"/>
        <color rgb="FF000000"/>
        <rFont val="ＭＳ ゴシック"/>
        <family val="3"/>
        <charset val="128"/>
      </rPr>
      <t>時間</t>
    </r>
    <r>
      <rPr>
        <sz val="10"/>
        <color rgb="FF000000"/>
        <rFont val="Arial"/>
        <family val="2"/>
      </rPr>
      <t>/</t>
    </r>
    <r>
      <rPr>
        <sz val="10"/>
        <color rgb="FF000000"/>
        <rFont val="ＭＳ ゴシック"/>
        <family val="3"/>
        <charset val="128"/>
      </rPr>
      <t>月</t>
    </r>
    <r>
      <rPr>
        <sz val="10"/>
        <color rgb="FF000000"/>
        <rFont val="Noto Sans CJK SC"/>
        <family val="2"/>
      </rPr>
      <t>最大</t>
    </r>
    <rPh sb="4" eb="6">
      <t>サイダイ</t>
    </rPh>
    <phoneticPr fontId="8"/>
  </si>
  <si>
    <r>
      <rPr>
        <sz val="10"/>
        <color rgb="FF000000"/>
        <rFont val="ＭＳ ゴシック"/>
        <family val="3"/>
        <charset val="128"/>
      </rPr>
      <t>時間</t>
    </r>
    <r>
      <rPr>
        <sz val="10"/>
        <color rgb="FF000000"/>
        <rFont val="Arial"/>
        <family val="2"/>
      </rPr>
      <t>/</t>
    </r>
    <r>
      <rPr>
        <sz val="10"/>
        <color rgb="FF000000"/>
        <rFont val="ＭＳ ゴシック"/>
        <family val="3"/>
        <charset val="128"/>
      </rPr>
      <t>月標準</t>
    </r>
    <rPh sb="4" eb="6">
      <t>ヒョウジュン</t>
    </rPh>
    <phoneticPr fontId="8"/>
  </si>
  <si>
    <t>見積オーバー工数</t>
    <rPh sb="0" eb="2">
      <t>ミツモリ</t>
    </rPh>
    <rPh sb="6" eb="8">
      <t>コウスウ</t>
    </rPh>
    <phoneticPr fontId="8"/>
  </si>
  <si>
    <t>見積工数</t>
    <rPh sb="0" eb="2">
      <t>ミツモリ</t>
    </rPh>
    <rPh sb="2" eb="4">
      <t>コウスウ</t>
    </rPh>
    <phoneticPr fontId="8"/>
  </si>
  <si>
    <r>
      <rPr>
        <sz val="10"/>
        <color rgb="FF000000"/>
        <rFont val="ＭＳ ゴシック"/>
        <family val="3"/>
        <charset val="128"/>
      </rPr>
      <t>時間</t>
    </r>
    <r>
      <rPr>
        <sz val="10"/>
        <color rgb="FF000000"/>
        <rFont val="Arial"/>
        <family val="2"/>
      </rPr>
      <t>/</t>
    </r>
    <r>
      <rPr>
        <sz val="10"/>
        <color rgb="FF000000"/>
        <rFont val="ＭＳ ゴシック"/>
        <family val="3"/>
        <charset val="128"/>
      </rPr>
      <t>月最小</t>
    </r>
    <rPh sb="4" eb="6">
      <t>サイショウ</t>
    </rPh>
    <phoneticPr fontId="8"/>
  </si>
  <si>
    <t>※180時間を超過した場合、超過分を追加請求させていただきます。</t>
    <phoneticPr fontId="8"/>
  </si>
  <si>
    <r>
      <rPr>
        <b/>
        <sz val="10"/>
        <color rgb="FFFFFFFF"/>
        <rFont val="ＭＳ ゴシック"/>
        <family val="3"/>
        <charset val="128"/>
      </rPr>
      <t>工数</t>
    </r>
    <r>
      <rPr>
        <b/>
        <sz val="10"/>
        <color rgb="FFFFFFFF"/>
        <rFont val="Arial"/>
        <family val="2"/>
      </rPr>
      <t xml:space="preserve"> (</t>
    </r>
    <r>
      <rPr>
        <b/>
        <sz val="10"/>
        <color rgb="FFFFFFFF"/>
        <rFont val="ＭＳ ゴシック"/>
        <family val="3"/>
        <charset val="128"/>
      </rPr>
      <t>人月</t>
    </r>
    <r>
      <rPr>
        <b/>
        <sz val="10"/>
        <color rgb="FFFFFFFF"/>
        <rFont val="Arial"/>
        <family val="2"/>
      </rPr>
      <t>)</t>
    </r>
    <r>
      <rPr>
        <b/>
        <sz val="10"/>
        <color rgb="FFFFFFFF"/>
        <rFont val="Noto Sans CJK SC"/>
        <family val="3"/>
        <charset val="128"/>
      </rPr>
      <t xml:space="preserve">
</t>
    </r>
    <r>
      <rPr>
        <b/>
        <sz val="8"/>
        <color rgb="FFFFFFFF"/>
        <rFont val="ＭＳ ゴシック"/>
        <family val="3"/>
        <charset val="128"/>
      </rPr>
      <t>※最大（</t>
    </r>
    <r>
      <rPr>
        <b/>
        <sz val="8"/>
        <color rgb="FFFFFFFF"/>
        <rFont val="Arial"/>
        <family val="2"/>
      </rPr>
      <t>180h)</t>
    </r>
    <r>
      <rPr>
        <b/>
        <sz val="8"/>
        <color rgb="FFFFFFFF"/>
        <rFont val="ＭＳ ゴシック"/>
        <family val="3"/>
        <charset val="128"/>
      </rPr>
      <t>で計算</t>
    </r>
    <rPh sb="9" eb="11">
      <t>サイダイ</t>
    </rPh>
    <rPh sb="18" eb="20">
      <t>ケイサン</t>
    </rPh>
    <phoneticPr fontId="8"/>
  </si>
  <si>
    <r>
      <rPr>
        <sz val="11"/>
        <color theme="1"/>
        <rFont val="MS UI Gothic"/>
        <family val="2"/>
        <charset val="1"/>
      </rPr>
      <t>※</t>
    </r>
    <r>
      <rPr>
        <sz val="11"/>
        <color theme="1"/>
        <rFont val="Calibri"/>
        <family val="2"/>
        <charset val="1"/>
      </rPr>
      <t>140</t>
    </r>
    <r>
      <rPr>
        <sz val="11"/>
        <color theme="1"/>
        <rFont val="游ゴシック"/>
        <family val="2"/>
        <charset val="128"/>
      </rPr>
      <t>時間を下回った場合、不足分は請求いたしません。</t>
    </r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</si>
</sst>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#,##0.0"/>
    <numFmt numFmtId="178" formatCode="0.0;\-0.0;\-"/>
    <numFmt numFmtId="179" formatCode="[$¥-411]#,##0_);[Red]\([$¥-411]#,##0\)"/>
    <numFmt numFmtId="180" formatCode="0.00;\-0.00;\-"/>
  </numFmts>
  <fonts count="28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Meiryo"/>
      <family val="3"/>
      <charset val="128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Meiryo"/>
      <family val="3"/>
      <charset val="128"/>
    </font>
    <font>
      <b/>
      <sz val="9"/>
      <color rgb="FFFFFFFF"/>
      <name val="Noto Sans CJK SC"/>
      <family val="2"/>
    </font>
    <font>
      <b/>
      <sz val="10"/>
      <color rgb="FF000000"/>
      <name val="Meiryo"/>
      <family val="3"/>
      <charset val="128"/>
    </font>
    <font>
      <sz val="6"/>
      <name val="ＭＳ Ｐゴシック"/>
      <family val="3"/>
      <charset val="128"/>
    </font>
    <font>
      <b/>
      <sz val="9"/>
      <color rgb="FFFFFFFF"/>
      <name val="ＭＳ Ｐゴシック"/>
      <family val="2"/>
      <charset val="128"/>
    </font>
    <font>
      <b/>
      <sz val="10"/>
      <color rgb="FFFFFFFF"/>
      <name val="ＭＳ ゴシック"/>
      <family val="3"/>
      <charset val="128"/>
    </font>
    <font>
      <b/>
      <sz val="14"/>
      <color rgb="FFFFFFFF"/>
      <name val="ＭＳ ゴシック"/>
      <family val="3"/>
      <charset val="128"/>
    </font>
    <font>
      <b/>
      <sz val="14"/>
      <color rgb="FFFFFFFF"/>
      <name val="Arial"/>
      <family val="2"/>
    </font>
    <font>
      <b/>
      <sz val="14"/>
      <color rgb="FFFFFFFF"/>
      <name val="Noto Sans CJK SC"/>
      <family val="3"/>
      <charset val="128"/>
    </font>
    <font>
      <sz val="11"/>
      <color rgb="FFFF0000"/>
      <name val="Calibri"/>
      <family val="2"/>
      <charset val="1"/>
    </font>
    <font>
      <sz val="11"/>
      <color rgb="FFFF0000"/>
      <name val="Segoe UI Symbol"/>
      <family val="2"/>
    </font>
    <font>
      <sz val="11"/>
      <color rgb="FFFF0000"/>
      <name val="ＭＳ Ｐゴシック"/>
      <family val="2"/>
      <charset val="128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3"/>
      <charset val="128"/>
    </font>
    <font>
      <b/>
      <sz val="10"/>
      <color rgb="FF000000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2"/>
    </font>
    <font>
      <sz val="10"/>
      <color rgb="FF000000"/>
      <name val="Noto Sans CJK SC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MS UI Gothic"/>
      <family val="2"/>
      <charset val="1"/>
    </font>
    <font>
      <sz val="11"/>
      <color theme="1"/>
      <name val="游ゴシック"/>
      <family val="2"/>
      <charset val="128"/>
    </font>
    <font>
      <b/>
      <sz val="8"/>
      <color rgb="FFFFFFFF"/>
      <name val="ＭＳ ゴシック"/>
      <family val="3"/>
      <charset val="128"/>
    </font>
    <font>
      <b/>
      <sz val="8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F2F5FB"/>
      </patternFill>
    </fill>
    <fill>
      <patternFill patternType="solid">
        <fgColor rgb="FFFFF2CC"/>
        <bgColor rgb="FFF2F5FB"/>
      </patternFill>
    </fill>
    <fill>
      <patternFill patternType="solid">
        <fgColor rgb="FFFFFFFF"/>
        <bgColor rgb="FFF2F5FB"/>
      </patternFill>
    </fill>
    <fill>
      <patternFill patternType="solid">
        <fgColor rgb="FFF2F5FB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177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177" fontId="5" fillId="7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177" fontId="7" fillId="4" borderId="1" xfId="0" applyNumberFormat="1" applyFont="1" applyFill="1" applyBorder="1" applyAlignment="1">
      <alignment horizontal="center" vertical="center"/>
    </xf>
    <xf numFmtId="2" fontId="7" fillId="4" borderId="1" xfId="0" applyNumberFormat="1" applyFont="1" applyFill="1" applyBorder="1" applyAlignment="1">
      <alignment horizontal="center" vertical="center"/>
    </xf>
    <xf numFmtId="178" fontId="7" fillId="4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9" fontId="5" fillId="6" borderId="1" xfId="0" applyNumberFormat="1" applyFont="1" applyFill="1" applyBorder="1" applyAlignment="1">
      <alignment horizontal="right" vertical="center"/>
    </xf>
    <xf numFmtId="179" fontId="7" fillId="4" borderId="1" xfId="0" applyNumberFormat="1" applyFont="1" applyFill="1" applyBorder="1" applyAlignment="1">
      <alignment horizontal="center" vertical="center"/>
    </xf>
    <xf numFmtId="180" fontId="5" fillId="6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14" fillId="8" borderId="0" xfId="0" applyFont="1" applyFill="1"/>
    <xf numFmtId="0" fontId="19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22" fillId="5" borderId="1" xfId="0" applyFont="1" applyFill="1" applyBorder="1" applyAlignment="1">
      <alignment horizontal="left" vertical="center"/>
    </xf>
    <xf numFmtId="0" fontId="23" fillId="0" borderId="0" xfId="0" applyFont="1"/>
    <xf numFmtId="0" fontId="13" fillId="2" borderId="0" xfId="0" applyFont="1" applyFill="1" applyAlignment="1">
      <alignment horizontal="left" vertical="center"/>
    </xf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18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196318</xdr:colOff>
      <xdr:row>21</xdr:row>
      <xdr:rowOff>66674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DBEDDF-7ADC-B187-8370-A0671E00F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17118" cy="4067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showGridLines="0" tabSelected="1" zoomScale="115" zoomScaleNormal="115" workbookViewId="0">
      <pane xSplit="1" ySplit="9" topLeftCell="B10" activePane="bottomRight" state="frozen"/>
      <selection pane="topRight" activeCell="B1" sqref="B1"/>
      <selection pane="bottomLeft" activeCell="A8" sqref="A8"/>
      <selection pane="bottomRight" activeCell="E5" sqref="E5"/>
    </sheetView>
  </sheetViews>
  <sheetFormatPr defaultColWidth="8.7109375" defaultRowHeight="15"/>
  <cols>
    <col min="1" max="1" width="18.7109375" customWidth="1"/>
    <col min="2" max="7" width="9.5703125" customWidth="1"/>
    <col min="8" max="9" width="15" customWidth="1"/>
    <col min="10" max="10" width="16.85546875" bestFit="1" customWidth="1"/>
    <col min="11" max="11" width="18.7109375" bestFit="1" customWidth="1"/>
  </cols>
  <sheetData>
    <row r="1" spans="1:13" ht="27.75" customHeight="1">
      <c r="A1" s="25" t="s">
        <v>12</v>
      </c>
      <c r="B1" s="26"/>
      <c r="C1" s="26"/>
      <c r="D1" s="26"/>
      <c r="E1" s="26"/>
      <c r="F1" s="26"/>
      <c r="G1" s="26"/>
      <c r="H1" s="26"/>
      <c r="I1" s="26"/>
    </row>
    <row r="3" spans="1:13" ht="15" customHeight="1">
      <c r="A3" s="22" t="s">
        <v>17</v>
      </c>
      <c r="B3" s="1" t="s">
        <v>13</v>
      </c>
      <c r="C3" s="21" t="s">
        <v>14</v>
      </c>
    </row>
    <row r="4" spans="1:13" ht="15" customHeight="1">
      <c r="A4" s="23" t="s">
        <v>22</v>
      </c>
      <c r="B4" s="2">
        <v>140</v>
      </c>
      <c r="C4" s="2">
        <v>140</v>
      </c>
      <c r="E4" t="s">
        <v>25</v>
      </c>
    </row>
    <row r="5" spans="1:13" ht="15" customHeight="1">
      <c r="A5" s="23" t="s">
        <v>19</v>
      </c>
      <c r="B5" s="2">
        <v>165</v>
      </c>
      <c r="C5" s="2">
        <v>157.5</v>
      </c>
    </row>
    <row r="6" spans="1:13" ht="15" customHeight="1">
      <c r="A6" s="23" t="s">
        <v>18</v>
      </c>
      <c r="B6" s="2">
        <v>180</v>
      </c>
      <c r="C6" s="2">
        <v>180</v>
      </c>
      <c r="E6" s="24" t="s">
        <v>23</v>
      </c>
    </row>
    <row r="8" spans="1:13" ht="31.5" customHeight="1">
      <c r="A8" s="27" t="s">
        <v>0</v>
      </c>
      <c r="B8" s="29" t="s">
        <v>1</v>
      </c>
      <c r="C8" s="30"/>
      <c r="D8" s="31" t="s">
        <v>24</v>
      </c>
      <c r="E8" s="30"/>
      <c r="F8" s="33" t="s">
        <v>21</v>
      </c>
      <c r="G8" s="30"/>
      <c r="H8" s="32" t="s">
        <v>20</v>
      </c>
      <c r="I8" s="30"/>
    </row>
    <row r="9" spans="1:13" ht="15" customHeight="1">
      <c r="A9" s="28"/>
      <c r="B9" s="3" t="s">
        <v>15</v>
      </c>
      <c r="C9" s="3" t="s">
        <v>16</v>
      </c>
      <c r="D9" s="3" t="s">
        <v>15</v>
      </c>
      <c r="E9" s="3" t="s">
        <v>16</v>
      </c>
      <c r="F9" s="3" t="s">
        <v>15</v>
      </c>
      <c r="G9" s="3" t="s">
        <v>16</v>
      </c>
      <c r="H9" s="3" t="s">
        <v>15</v>
      </c>
      <c r="I9" s="3" t="s">
        <v>16</v>
      </c>
      <c r="J9" s="4" t="s">
        <v>8</v>
      </c>
      <c r="K9" s="15" t="s">
        <v>9</v>
      </c>
    </row>
    <row r="10" spans="1:13" ht="15" customHeight="1">
      <c r="A10" s="5" t="s">
        <v>2</v>
      </c>
      <c r="B10" s="6">
        <v>176</v>
      </c>
      <c r="C10" s="6">
        <v>217</v>
      </c>
      <c r="D10" s="7">
        <f t="shared" ref="D10:E14" si="0">B10/B$6</f>
        <v>0.97777777777777775</v>
      </c>
      <c r="E10" s="7">
        <f t="shared" si="0"/>
        <v>1.2055555555555555</v>
      </c>
      <c r="F10" s="7">
        <v>1</v>
      </c>
      <c r="G10" s="7">
        <v>1</v>
      </c>
      <c r="H10" s="18"/>
      <c r="I10" s="18">
        <f>E10-G10</f>
        <v>0.20555555555555549</v>
      </c>
      <c r="J10" s="16">
        <v>900000</v>
      </c>
      <c r="K10" s="16">
        <f>SUM(H10:I10)*J10</f>
        <v>184999.99999999994</v>
      </c>
    </row>
    <row r="11" spans="1:13" ht="15" customHeight="1">
      <c r="A11" s="8" t="s">
        <v>3</v>
      </c>
      <c r="B11" s="9">
        <v>179</v>
      </c>
      <c r="C11" s="9">
        <v>180</v>
      </c>
      <c r="D11" s="10">
        <f t="shared" si="0"/>
        <v>0.99444444444444446</v>
      </c>
      <c r="E11" s="10">
        <f t="shared" si="0"/>
        <v>1</v>
      </c>
      <c r="F11" s="10">
        <v>1</v>
      </c>
      <c r="G11" s="10">
        <v>1</v>
      </c>
      <c r="H11" s="18"/>
      <c r="I11" s="18"/>
      <c r="J11" s="16">
        <v>900000</v>
      </c>
      <c r="K11" s="16">
        <f>SUM(H11:I11)*J11</f>
        <v>0</v>
      </c>
    </row>
    <row r="12" spans="1:13" ht="15" customHeight="1">
      <c r="A12" s="5" t="s">
        <v>4</v>
      </c>
      <c r="B12" s="6">
        <v>180</v>
      </c>
      <c r="C12" s="6">
        <v>215</v>
      </c>
      <c r="D12" s="7">
        <f t="shared" si="0"/>
        <v>1</v>
      </c>
      <c r="E12" s="7">
        <f t="shared" si="0"/>
        <v>1.1944444444444444</v>
      </c>
      <c r="F12" s="7">
        <v>1</v>
      </c>
      <c r="G12" s="7">
        <v>1</v>
      </c>
      <c r="H12" s="18"/>
      <c r="I12" s="18">
        <f t="shared" ref="I12:I13" si="1">E12-G12</f>
        <v>0.19444444444444442</v>
      </c>
      <c r="J12" s="16">
        <v>636000</v>
      </c>
      <c r="K12" s="16">
        <f>SUM(H12:I12)*J12</f>
        <v>123666.66666666666</v>
      </c>
    </row>
    <row r="13" spans="1:13" ht="15" customHeight="1">
      <c r="A13" s="8" t="s">
        <v>5</v>
      </c>
      <c r="B13" s="9">
        <v>237</v>
      </c>
      <c r="C13" s="9">
        <v>295</v>
      </c>
      <c r="D13" s="10">
        <f t="shared" si="0"/>
        <v>1.3166666666666667</v>
      </c>
      <c r="E13" s="10">
        <f t="shared" si="0"/>
        <v>1.6388888888888888</v>
      </c>
      <c r="F13" s="10">
        <v>1.32</v>
      </c>
      <c r="G13" s="10">
        <v>1.32</v>
      </c>
      <c r="H13" s="18"/>
      <c r="I13" s="18">
        <f t="shared" si="1"/>
        <v>0.31888888888888878</v>
      </c>
      <c r="J13" s="16">
        <v>900000</v>
      </c>
      <c r="K13" s="16">
        <f>SUM(H13:I13)*J13</f>
        <v>286999.99999999988</v>
      </c>
    </row>
    <row r="14" spans="1:13" ht="15" customHeight="1">
      <c r="A14" s="5" t="s">
        <v>6</v>
      </c>
      <c r="B14" s="6">
        <v>108</v>
      </c>
      <c r="C14" s="6">
        <v>92</v>
      </c>
      <c r="D14" s="7">
        <f t="shared" si="0"/>
        <v>0.6</v>
      </c>
      <c r="E14" s="7">
        <f t="shared" si="0"/>
        <v>0.51111111111111107</v>
      </c>
      <c r="F14" s="7">
        <v>0.59</v>
      </c>
      <c r="G14" s="7">
        <v>0.59</v>
      </c>
      <c r="H14" s="18"/>
      <c r="I14" s="18"/>
      <c r="J14" s="16">
        <v>1800000</v>
      </c>
      <c r="K14" s="16">
        <f>SUM(H14:I14)*J14</f>
        <v>0</v>
      </c>
    </row>
    <row r="15" spans="1:13" ht="15" customHeight="1">
      <c r="A15" s="11" t="s">
        <v>7</v>
      </c>
      <c r="B15" s="12">
        <f t="shared" ref="B15:E15" si="2">SUM(B10:B14)</f>
        <v>880</v>
      </c>
      <c r="C15" s="12">
        <f t="shared" si="2"/>
        <v>999</v>
      </c>
      <c r="D15" s="13">
        <f t="shared" si="2"/>
        <v>4.8888888888888884</v>
      </c>
      <c r="E15" s="13">
        <f t="shared" si="2"/>
        <v>5.5500000000000007</v>
      </c>
      <c r="F15" s="13"/>
      <c r="G15" s="13"/>
      <c r="H15" s="14"/>
      <c r="I15" s="14"/>
      <c r="J15" s="14" t="s">
        <v>10</v>
      </c>
      <c r="K15" s="17">
        <f>SUM(K10:K14)</f>
        <v>595666.66666666651</v>
      </c>
      <c r="L15" s="20" t="s">
        <v>11</v>
      </c>
      <c r="M15" s="19"/>
    </row>
    <row r="19" spans="11:11">
      <c r="K19" s="34"/>
    </row>
  </sheetData>
  <mergeCells count="6">
    <mergeCell ref="A1:I1"/>
    <mergeCell ref="A8:A9"/>
    <mergeCell ref="B8:C8"/>
    <mergeCell ref="D8:E8"/>
    <mergeCell ref="H8:I8"/>
    <mergeCell ref="F8:G8"/>
  </mergeCells>
  <phoneticPr fontId="8"/>
  <pageMargins left="0.4" right="0.4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E308-F6DC-487A-B02F-5BB07674C4D4}">
  <dimension ref="A1"/>
  <sheetViews>
    <sheetView showGridLines="0" workbookViewId="0">
      <selection activeCell="L28" sqref="L28"/>
    </sheetView>
  </sheetViews>
  <sheetFormatPr defaultRowHeight="15"/>
  <sheetData/>
  <phoneticPr fontId="8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01e930a-b52e-42b1-b70f-a8882b5d043b}" enabled="0" method="" siteId="{f01e930a-b52e-42b1-b70f-a8882b5d04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稼働情報</vt:lpstr>
      <vt:lpstr>契約工数</vt:lpstr>
      <vt:lpstr>稼働情報!Print_Area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Viet Pham Hoang</cp:lastModifiedBy>
  <cp:revision>0</cp:revision>
  <dcterms:created xsi:type="dcterms:W3CDTF">2026-06-19T00:12:42Z</dcterms:created>
  <dcterms:modified xsi:type="dcterms:W3CDTF">2026-08-19T07:40:28Z</dcterms:modified>
  <dc:language>en-US</dc:language>
</cp:coreProperties>
</file>